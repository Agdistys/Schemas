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13 Piliers" sheetId="2" state="visible" r:id="rId2"/>
    <sheet xmlns:r="http://schemas.openxmlformats.org/officeDocument/2006/relationships" name="Niveaux 0-5" sheetId="3" state="visible" r:id="rId3"/>
    <sheet xmlns:r="http://schemas.openxmlformats.org/officeDocument/2006/relationships" name="Scoring" sheetId="4" state="visible" r:id="rId4"/>
    <sheet xmlns:r="http://schemas.openxmlformats.org/officeDocument/2006/relationships" name="Cohérence" sheetId="5" state="visible" r:id="rId5"/>
    <sheet xmlns:r="http://schemas.openxmlformats.org/officeDocument/2006/relationships" name="Matrices Express" sheetId="6" state="visible" r:id="rId6"/>
    <sheet xmlns:r="http://schemas.openxmlformats.org/officeDocument/2006/relationships" name="Contextes" sheetId="7" state="visible" r:id="rId7"/>
    <sheet xmlns:r="http://schemas.openxmlformats.org/officeDocument/2006/relationships" name="STOP-R" sheetId="8" state="visible" r:id="rId8"/>
    <sheet xmlns:r="http://schemas.openxmlformats.org/officeDocument/2006/relationships" name="Glossai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6D28D9"/>
      </patternFill>
    </fill>
    <fill>
      <patternFill patternType="solid">
        <fgColor rgb="00F3F4F6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Diagnostic Profond - Tableau de bord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Risque Structurel (RS)</t>
        </is>
      </c>
      <c r="B3" s="4">
        <f>Scoring!H16</f>
        <v/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Indice Cohérence (C)</t>
        </is>
      </c>
      <c r="B4" s="4">
        <f>Cohérence!C2</f>
        <v/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Lecture</t>
        </is>
      </c>
      <c r="B5" s="4">
        <f>IF(B3&gt;=18,"Danger structurel",IF(B3&gt;=10,"Vigilance",IF(B3&gt;=4,"A surveiller","Stabilite relative")))</f>
        <v/>
      </c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Formule RS</t>
        </is>
      </c>
      <c r="B8" s="2" t="inlineStr">
        <is>
          <t>G + IA + IT + IE + ID - IR - II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Usage</t>
        </is>
      </c>
      <c r="B9" s="2" t="inlineStr">
        <is>
          <t>Indice indicatif : toujours contextualiser et croiser avec preuves, trajectoire et environnement.</t>
        </is>
      </c>
      <c r="C9" s="2" t="n"/>
      <c r="D9" s="2" t="n"/>
      <c r="E9" s="2" t="n"/>
      <c r="F9" s="2" t="n"/>
      <c r="G9" s="2" t="n"/>
      <c r="H9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34" customWidth="1" min="4" max="4"/>
    <col width="55" customWidth="1" min="5" max="5"/>
    <col width="45" customWidth="1" min="6" max="6"/>
    <col width="45" customWidth="1" min="7" max="7"/>
    <col width="45" customWidth="1" min="8" max="8"/>
  </cols>
  <sheetData>
    <row r="1">
      <c r="A1" s="5" t="inlineStr">
        <is>
          <t>Code</t>
        </is>
      </c>
      <c r="B1" s="5" t="inlineStr">
        <is>
          <t>Pilier</t>
        </is>
      </c>
      <c r="C1" s="5" t="inlineStr">
        <is>
          <t>Sous-titre</t>
        </is>
      </c>
      <c r="D1" s="5" t="inlineStr">
        <is>
          <t>Question</t>
        </is>
      </c>
      <c r="E1" s="5" t="inlineStr">
        <is>
          <t>Definition</t>
        </is>
      </c>
      <c r="F1" s="5" t="inlineStr">
        <is>
          <t>Indicateurs</t>
        </is>
      </c>
      <c r="G1" s="5" t="inlineStr">
        <is>
          <t>Risque de confusion</t>
        </is>
      </c>
      <c r="H1" s="5" t="inlineStr">
        <is>
          <t>Regle ethique</t>
        </is>
      </c>
    </row>
    <row r="2">
      <c r="A2" s="6" t="inlineStr">
        <is>
          <t>G</t>
        </is>
      </c>
      <c r="B2" s="6" t="inlineStr">
        <is>
          <t>Gravite</t>
        </is>
      </c>
      <c r="C2" s="6" t="inlineStr">
        <is>
          <t>Intensite de l'impact</t>
        </is>
      </c>
      <c r="D2" s="6" t="inlineStr">
        <is>
          <t>Quel est le niveau reel d'impact ?</t>
        </is>
      </c>
      <c r="E2" s="6" t="inlineStr">
        <is>
          <t>La gravite mesure l'ampleur concrete d'un dommage physique, psychique, relationnel ou systemique. Elle ne se limite pas a l'intensite emotionnelle ressentie : elle croise effets, consequences, contexte et vulnerabilites.</t>
        </is>
      </c>
      <c r="F2" s="6" t="inlineStr">
        <is>
          <t>atteinte a la sante, perte de securite, desorganisation, menace, impact durable, degradation de la liberte d'action</t>
        </is>
      </c>
      <c r="G2" s="6" t="inlineStr">
        <is>
          <t>un choc spectaculaire peut etre ponctuel ; une atteinte discrete mais repetee peut etre devastatrice.</t>
        </is>
      </c>
      <c r="H2" s="6" t="inlineStr">
        <is>
          <t>Intensite percue et gravite structurelle doivent etre distinguees.</t>
        </is>
      </c>
    </row>
    <row r="3">
      <c r="A3" s="6" t="inlineStr">
        <is>
          <t>C</t>
        </is>
      </c>
      <c r="B3" s="6" t="inlineStr">
        <is>
          <t>Consentement</t>
        </is>
      </c>
      <c r="C3" s="6" t="inlineStr">
        <is>
          <t>Liberte reelle de choix</t>
        </is>
      </c>
      <c r="D3" s="6" t="inlineStr">
        <is>
          <t>Le refus est-il reellement possible ?</t>
        </is>
      </c>
      <c r="E3" s="6" t="inlineStr">
        <is>
          <t>Le consentement structurel designe la capacite a choisir avec assez de securite, d'information, de temporalite et d'integrite du non. Un oui peut etre une strategie de survie si le cout du refus est disproportionne.</t>
        </is>
      </c>
      <c r="F3" s="6" t="inlineStr">
        <is>
          <t>peur du refus, dette affective, pression, confusion, sidération, retrait d'amour, menace, impossibilite pratique du non</t>
        </is>
      </c>
      <c r="G3" s="6" t="inlineStr">
        <is>
          <t>absence de resistance visible ne signifie pas accord libre.</t>
        </is>
      </c>
      <c r="H3" s="6" t="inlineStr">
        <is>
          <t>Plus le cout du refus augmente, plus l'evaluation du consentement doit etre prudente.</t>
        </is>
      </c>
    </row>
    <row r="4">
      <c r="A4" s="6" t="inlineStr">
        <is>
          <t>D</t>
        </is>
      </c>
      <c r="B4" s="6" t="inlineStr">
        <is>
          <t>Dette</t>
        </is>
      </c>
      <c r="C4" s="6" t="inlineStr">
        <is>
          <t>Cout accumule de cohérence</t>
        </is>
      </c>
      <c r="D4" s="6" t="inlineStr">
        <is>
          <t>Qui paie encore, et combien ?</t>
        </is>
      </c>
      <c r="E4" s="6" t="inlineStr">
        <is>
          <t>La dette emotionnelle ou cognitive correspond au cout cumule necessaire pour maintenir identite, clarte ou stabilite dans un environnement de pression, distorsion ou violence.</t>
        </is>
      </c>
      <c r="F4" s="6" t="inlineStr">
        <is>
          <t>rumination, hypervigilance, fatigue, auto-censure, justification constante, compensation, perte de sommeil, douleurs</t>
        </is>
      </c>
      <c r="G4" s="6" t="inlineStr">
        <is>
          <t>ce qui tient en apparence peut tenir parce qu'une personne porte seule le cout.</t>
        </is>
      </c>
      <c r="H4" s="6" t="inlineStr">
        <is>
          <t>Tout ce qui dure n'est pas viable ; le cout cache revele souvent la structure.</t>
        </is>
      </c>
    </row>
    <row r="5">
      <c r="A5" s="6" t="inlineStr">
        <is>
          <t>ID</t>
        </is>
      </c>
      <c r="B5" s="6" t="inlineStr">
        <is>
          <t>Distorsion</t>
        </is>
      </c>
      <c r="C5" s="6" t="inlineStr">
        <is>
          <t>Alteration du reel</t>
        </is>
      </c>
      <c r="D5" s="6" t="inlineStr">
        <is>
          <t>Le reel est-il clarifie ou deforme ?</t>
        </is>
      </c>
      <c r="E5" s="6" t="inlineStr">
        <is>
          <t>La distorsion est l'alteration repetee ou significative de la perception du reel, du recit ou du discernement. Elle peut aller de l'erreur humaine a la falsification coercitive.</t>
        </is>
      </c>
      <c r="F5" s="6" t="inlineStr">
        <is>
          <t>inversion, gaslighting, omissions utiles, version instable, secret structurant, destruction de preuves, brouillage actif</t>
        </is>
      </c>
      <c r="G5" s="6" t="inlineStr">
        <is>
          <t>une victime traumatisee peut paraitre incoherente sans manipuler ; une personne tres coherente peut manipuler avec efficacite.</t>
        </is>
      </c>
      <c r="H5" s="6" t="inlineStr">
        <is>
          <t>Toute incoherence n'est pas mensonge ; toute coherence n'est pas verite.</t>
        </is>
      </c>
    </row>
    <row r="6">
      <c r="A6" s="6" t="inlineStr">
        <is>
          <t>IR</t>
        </is>
      </c>
      <c r="B6" s="6" t="inlineStr">
        <is>
          <t>Reparation</t>
        </is>
      </c>
      <c r="C6" s="6" t="inlineStr">
        <is>
          <t>Reduction active du dommage</t>
        </is>
      </c>
      <c r="D6" s="6" t="inlineStr">
        <is>
          <t>Qu'est-ce qui change concretement ?</t>
        </is>
      </c>
      <c r="E6" s="6" t="inlineStr">
        <is>
          <t>La reparation structurelle est le processus par lequel un systeme reconnait, assume, corrige et reduit durablement les consequences d'un impact destructeur sans faire porter le cout principal a la personne lesée.</t>
        </is>
      </c>
      <c r="F6" s="6" t="inlineStr">
        <is>
          <t>arrêt du pattern, restitution, protection future, cout assume, changement stable, prevention, securite accrue</t>
        </is>
      </c>
      <c r="G6" s="6" t="inlineStr">
        <is>
          <t>excuse, regret et comprehension peuvent exister sans reparation structurelle.</t>
        </is>
      </c>
      <c r="H6" s="6" t="inlineStr">
        <is>
          <t>La responsabilite regarde la cause ; la reparation regarde l'impact ; la restauration regarde l'avenir.</t>
        </is>
      </c>
    </row>
    <row r="7">
      <c r="A7" s="6" t="inlineStr">
        <is>
          <t>IA</t>
        </is>
      </c>
      <c r="B7" s="6" t="inlineStr">
        <is>
          <t>Asymetrie</t>
        </is>
      </c>
      <c r="C7" s="6" t="inlineStr">
        <is>
          <t>Architecture de pouvoir</t>
        </is>
      </c>
      <c r="D7" s="6" t="inlineStr">
        <is>
          <t>Que coute reellement la desobeissance ?</t>
        </is>
      </c>
      <c r="E7" s="6" t="inlineStr">
        <is>
          <t>L'asymetrie structurelle est l'ecart de pouvoir permettant a un systeme d'influencer, contraindre ou redefinir la realite d'un autre a moindre cout pour lui-meme.</t>
        </is>
      </c>
      <c r="F7" s="6" t="inlineStr">
        <is>
          <t>dependance economique, statut, credibilite sociale, reseau, logement, menace, reputation, controle narratif</t>
        </is>
      </c>
      <c r="G7" s="6" t="inlineStr">
        <is>
          <t>pouvoir n'est pas automatiquement abus ; pouvoir sans integrite augmente le risque.</t>
        </is>
      </c>
      <c r="H7" s="6" t="inlineStr">
        <is>
          <t>Un meme acte n'a pas le meme poids selon la pente du terrain.</t>
        </is>
      </c>
    </row>
    <row r="8">
      <c r="A8" s="6" t="inlineStr">
        <is>
          <t>IT</t>
        </is>
      </c>
      <c r="B8" s="6" t="inlineStr">
        <is>
          <t>Temporalite</t>
        </is>
      </c>
      <c r="C8" s="6" t="inlineStr">
        <is>
          <t>Repetition, usure, escalade</t>
        </is>
      </c>
      <c r="D8" s="6" t="inlineStr">
        <is>
          <t>Incident ou systeme ?</t>
        </is>
      </c>
      <c r="E8" s="6" t="inlineStr">
        <is>
          <t>La temporalite structurelle lit une dynamique par frequence, duree, repetition, cycles, aggravation ou amelioration. Elle distingue l'evenement ponctuel du pattern installe.</t>
        </is>
      </c>
      <c r="F8" s="6" t="inlineStr">
        <is>
          <t>frequence, duree, intensification, boucle tension/apaisement, reduction des temps de recuperation, normalisation</t>
        </is>
      </c>
      <c r="G8" s="6" t="inlineStr">
        <is>
          <t>le retour au calme peut masquer une boucle, pas une resolution.</t>
        </is>
      </c>
      <c r="H8" s="6" t="inlineStr">
        <is>
          <t>La repetition sans reparation transforme l'incident en pattern puis en systeme.</t>
        </is>
      </c>
    </row>
    <row r="9">
      <c r="A9" s="6" t="inlineStr">
        <is>
          <t>IE</t>
        </is>
      </c>
      <c r="B9" s="6" t="inlineStr">
        <is>
          <t>Environnement</t>
        </is>
      </c>
      <c r="C9" s="6" t="inlineStr">
        <is>
          <t>Validation, contagion, contexte</t>
        </is>
      </c>
      <c r="D9" s="6" t="inlineStr">
        <is>
          <t>Le systeme autour corrige-t-il ou stabilise-t-il la distorsion ?</t>
        </is>
      </c>
      <c r="E9" s="6" t="inlineStr">
        <is>
          <t>L'environnement structurel regroupe temoins, normes, institutions, reseaux et cultures qui modulent le cout, la visibilite et la transmissibilite d'une dynamique.</t>
        </is>
      </c>
      <c r="F9" s="6" t="inlineStr">
        <is>
          <t>ecoute, verification, minimisation, silence organise, punition de l'alerte, protection de l'image, exclusion</t>
        </is>
      </c>
      <c r="G9" s="6" t="inlineStr">
        <is>
          <t>neutralite de facade peut proteger l'abus si elle ignore l'asymetrie.</t>
        </is>
      </c>
      <c r="H9" s="6" t="inlineStr">
        <is>
          <t>Un individu peut nuire ; un environnement peut rendre la nuisance normale.</t>
        </is>
      </c>
    </row>
    <row r="10">
      <c r="A10" s="6" t="inlineStr">
        <is>
          <t>II</t>
        </is>
      </c>
      <c r="B10" s="6" t="inlineStr">
        <is>
          <t>Integration</t>
        </is>
      </c>
      <c r="C10" s="6" t="inlineStr">
        <is>
          <t>Recuperation et reorganisation</t>
        </is>
      </c>
      <c r="D10" s="6" t="inlineStr">
        <is>
          <t>Le systeme reste-t-il domine par la blessure ou se reorganise-t-il ?</t>
        </is>
      </c>
      <c r="E10" s="6" t="inlineStr">
        <is>
          <t>L'integration structurelle est la capacite a transformer une charge, une blessure ou une desorganisation en information utilisable sans rester gouverne par la boucle destructrice initiale.</t>
        </is>
      </c>
      <c r="F10" s="6" t="inlineStr">
        <is>
          <t>contextualisation, baisse de la desorganisation, recuperation energetique, dignite restauree, plasticite, transmission protectrice</t>
        </is>
      </c>
      <c r="G10" s="6" t="inlineStr">
        <is>
          <t>fonctionner, performer ou hyper-controler ne signifie pas etre integre.</t>
        </is>
      </c>
      <c r="H10" s="6" t="inlineStr">
        <is>
          <t>La blessure n'est pas la finalite ; la trajectoire post-impact informe la restauration.</t>
        </is>
      </c>
    </row>
    <row r="11">
      <c r="A11" s="6" t="inlineStr">
        <is>
          <t>R</t>
        </is>
      </c>
      <c r="B11" s="6" t="inlineStr">
        <is>
          <t>Reversibilite</t>
        </is>
      </c>
      <c r="C11" s="6" t="inlineStr">
        <is>
          <t>Plasticite et trajectoire</t>
        </is>
      </c>
      <c r="D11" s="6" t="inlineStr">
        <is>
          <t>Le systeme repete-t-il ou ajuste-t-il ?</t>
        </is>
      </c>
      <c r="E11" s="6" t="inlineStr">
        <is>
          <t>La reversibilite mesure la capacite a interrompre un pattern destructeur et a transformer sa trajectoire. Elle distingue potentiel, oscillation, ajustement et transformation consolidee.</t>
        </is>
      </c>
      <c r="F11" s="6" t="inlineStr">
        <is>
          <t>honte non instrumentale, baisse de projection, responsabilite, modification comportementale, coherence croissante</t>
        </is>
      </c>
      <c r="G11" s="6" t="inlineStr">
        <is>
          <t>lucidite ponctuelle, excuse ou honte ne prouvent pas transformation.</t>
        </is>
      </c>
      <c r="H11" s="6" t="inlineStr">
        <is>
          <t>Le potentiel de changement n'est pas le changement.</t>
        </is>
      </c>
    </row>
    <row r="12">
      <c r="A12" s="6" t="inlineStr">
        <is>
          <t>S</t>
        </is>
      </c>
      <c r="B12" s="6" t="inlineStr">
        <is>
          <t>Souverainete</t>
        </is>
      </c>
      <c r="C12" s="6" t="inlineStr">
        <is>
          <t>Territoire psychique et dignite</t>
        </is>
      </c>
      <c r="D12" s="6" t="inlineStr">
        <is>
          <t>Le systeme protege-t-il sa blessure ou sa vie ?</t>
        </is>
      </c>
      <c r="E12" s="6" t="inlineStr">
        <is>
          <t>La souverainete est la capacite a preserver discernement, dignite et integrite sans reproduire inutilement la destruction. Elle se verifie par la capacite de choix, de limite et de non-repetition.</t>
        </is>
      </c>
      <c r="F12" s="6" t="inlineStr">
        <is>
          <t>capacite de dire non, stabilite identitaire, autonomie, refus calme, choix non gouverne par la peur</t>
        </is>
      </c>
      <c r="G12" s="6" t="inlineStr">
        <is>
          <t>insensibilite, rigidite ou domination peuvent imiter la force sans souverainete.</t>
        </is>
      </c>
      <c r="H12" s="6" t="inlineStr">
        <is>
          <t>La souverainete se mesure moins a dire oui qu'a pouvoir dire non sans perdre son existence.</t>
        </is>
      </c>
    </row>
    <row r="13">
      <c r="A13" s="6" t="inlineStr">
        <is>
          <t>CG</t>
        </is>
      </c>
      <c r="B13" s="6" t="inlineStr">
        <is>
          <t>Cartographie globale</t>
        </is>
      </c>
      <c r="C13" s="6" t="inlineStr">
        <is>
          <t>Lecture croisee</t>
        </is>
      </c>
      <c r="D13" s="6" t="inlineStr">
        <is>
          <t>Quelle architecture globale produit quel cout ?</t>
        </is>
      </c>
      <c r="E13" s="6" t="inlineStr">
        <is>
          <t>La cartographie globale croise les piliers pour sortir d'une lecture isolee. Elle permet d'identifier crise, dette, emprise, restauration ou danger systemique.</t>
        </is>
      </c>
      <c r="F13" s="6" t="inlineStr">
        <is>
          <t>combinaisons de gravite, asymetrie, distorsion, temporalite, environnement, reparation et integration</t>
        </is>
      </c>
      <c r="G13" s="6" t="inlineStr">
        <is>
          <t>un indicateur spectaculaire peut masquer une structure faible ; une structure discrete peut produire un cout massif.</t>
        </is>
      </c>
      <c r="H13" s="6" t="inlineStr">
        <is>
          <t>Le diagnostic cherche la forme, la trajectoire, le cout, la reversibilite et la restauration possible.</t>
        </is>
      </c>
    </row>
    <row r="14">
      <c r="A14" s="6" t="inlineStr">
        <is>
          <t>OP</t>
        </is>
      </c>
      <c r="B14" s="6" t="inlineStr">
        <is>
          <t>Protocole operatoire</t>
        </is>
      </c>
      <c r="C14" s="6" t="inlineStr">
        <is>
          <t>Triage et decision</t>
        </is>
      </c>
      <c r="D14" s="6" t="inlineStr">
        <is>
          <t>Quel est le prochain mouvement le plus coherent et protecteur ?</t>
        </is>
      </c>
      <c r="E14" s="6" t="inlineStr">
        <is>
          <t>Le protocole operatoire transforme l'analyse en action : securiser, verifier, differencier, evaluer, orienter. Il evite que la verite reste inutilisable.</t>
        </is>
      </c>
      <c r="F14" s="6" t="inlineStr">
        <is>
          <t>urgence, preuves, trajectoire, pouvoir, reversibilite, soutien, seuil de protection</t>
        </is>
      </c>
      <c r="G14" s="6" t="inlineStr">
        <is>
          <t>nuance ne doit pas devenir inaction ; urgence ne doit pas produire confusion.</t>
        </is>
      </c>
      <c r="H14" s="6" t="inlineStr">
        <is>
          <t>Si le reel est brouille : clarifier. Si le cout explose : proteger. Si le pattern persiste : cartographier.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4" customWidth="1" min="8" max="8"/>
  </cols>
  <sheetData>
    <row r="1">
      <c r="A1" s="7" t="inlineStr">
        <is>
          <t>Code</t>
        </is>
      </c>
      <c r="B1" s="7" t="inlineStr">
        <is>
          <t>Pilier</t>
        </is>
      </c>
      <c r="C1" s="7" t="inlineStr">
        <is>
          <t>0</t>
        </is>
      </c>
      <c r="D1" s="7" t="inlineStr">
        <is>
          <t>1</t>
        </is>
      </c>
      <c r="E1" s="7" t="inlineStr">
        <is>
          <t>2</t>
        </is>
      </c>
      <c r="F1" s="7" t="inlineStr">
        <is>
          <t>3</t>
        </is>
      </c>
      <c r="G1" s="7" t="inlineStr">
        <is>
          <t>4</t>
        </is>
      </c>
      <c r="H1" s="7" t="inlineStr">
        <is>
          <t>5</t>
        </is>
      </c>
    </row>
    <row r="2">
      <c r="A2" s="6" t="inlineStr">
        <is>
          <t>G</t>
        </is>
      </c>
      <c r="B2" s="6" t="inlineStr">
        <is>
          <t>Gravite</t>
        </is>
      </c>
      <c r="C2" s="6" t="inlineStr">
        <is>
          <t>Friction mineure</t>
        </is>
      </c>
      <c r="D2" s="6" t="inlineStr">
        <is>
          <t>Tension</t>
        </is>
      </c>
      <c r="E2" s="6" t="inlineStr">
        <is>
          <t>Atteinte significative</t>
        </is>
      </c>
      <c r="F2" s="6" t="inlineStr">
        <is>
          <t>Desorganisation majeure</t>
        </is>
      </c>
      <c r="G2" s="6" t="inlineStr">
        <is>
          <t>Danger structurel</t>
        </is>
      </c>
      <c r="H2" s="6" t="inlineStr">
        <is>
          <t>Destruction critique</t>
        </is>
      </c>
    </row>
    <row r="3">
      <c r="A3" s="6" t="inlineStr">
        <is>
          <t>C</t>
        </is>
      </c>
      <c r="B3" s="6" t="inlineStr">
        <is>
          <t>Consentement</t>
        </is>
      </c>
      <c r="C3" s="6" t="inlineStr">
        <is>
          <t>Consentement souverain</t>
        </is>
      </c>
      <c r="D3" s="6" t="inlineStr">
        <is>
          <t>Compromis conscient</t>
        </is>
      </c>
      <c r="E3" s="6" t="inlineStr">
        <is>
          <t>Consentement adaptatif</t>
        </is>
      </c>
      <c r="F3" s="6" t="inlineStr">
        <is>
          <t>Consentement erode</t>
        </is>
      </c>
      <c r="G3" s="6" t="inlineStr">
        <is>
          <t>Consentement contraint</t>
        </is>
      </c>
      <c r="H3" s="6" t="inlineStr">
        <is>
          <t>Non-consentement structurel</t>
        </is>
      </c>
    </row>
    <row r="4">
      <c r="A4" s="6" t="inlineStr">
        <is>
          <t>D</t>
        </is>
      </c>
      <c r="B4" s="6" t="inlineStr">
        <is>
          <t>Dette</t>
        </is>
      </c>
      <c r="C4" s="6" t="inlineStr">
        <is>
          <t>Cout faible</t>
        </is>
      </c>
      <c r="D4" s="6" t="inlineStr">
        <is>
          <t>Inconfort</t>
        </is>
      </c>
      <c r="E4" s="6" t="inlineStr">
        <is>
          <t>Charge</t>
        </is>
      </c>
      <c r="F4" s="6" t="inlineStr">
        <is>
          <t>Usure</t>
        </is>
      </c>
      <c r="G4" s="6" t="inlineStr">
        <is>
          <t>Survie couteuse</t>
        </is>
      </c>
      <c r="H4" s="6" t="inlineStr">
        <is>
          <t>Risque d'effondrement</t>
        </is>
      </c>
    </row>
    <row r="5">
      <c r="A5" s="6" t="inlineStr">
        <is>
          <t>ID</t>
        </is>
      </c>
      <c r="B5" s="6" t="inlineStr">
        <is>
          <t>Distorsion</t>
        </is>
      </c>
      <c r="C5" s="6" t="inlineStr">
        <is>
          <t>Erreur simple</t>
        </is>
      </c>
      <c r="D5" s="6" t="inlineStr">
        <is>
          <t>Confusion</t>
        </is>
      </c>
      <c r="E5" s="6" t="inlineStr">
        <is>
          <t>Omission structurante</t>
        </is>
      </c>
      <c r="F5" s="6" t="inlineStr">
        <is>
          <t>Deni defensif</t>
        </is>
      </c>
      <c r="G5" s="6" t="inlineStr">
        <is>
          <t>Manipulation relationnelle</t>
        </is>
      </c>
      <c r="H5" s="6" t="inlineStr">
        <is>
          <t>Falsification coercitive</t>
        </is>
      </c>
    </row>
    <row r="6">
      <c r="A6" s="6" t="inlineStr">
        <is>
          <t>IR</t>
        </is>
      </c>
      <c r="B6" s="6" t="inlineStr">
        <is>
          <t>Reparation</t>
        </is>
      </c>
      <c r="C6" s="6" t="inlineStr">
        <is>
          <t>Aucune</t>
        </is>
      </c>
      <c r="D6" s="6" t="inlineStr">
        <is>
          <t>Regret autocentre</t>
        </is>
      </c>
      <c r="E6" s="6" t="inlineStr">
        <is>
          <t>Reconnaissance verbale</t>
        </is>
      </c>
      <c r="F6" s="6" t="inlineStr">
        <is>
          <t>Responsabilite active</t>
        </is>
      </c>
      <c r="G6" s="6" t="inlineStr">
        <is>
          <t>Reparation concrete</t>
        </is>
      </c>
      <c r="H6" s="6" t="inlineStr">
        <is>
          <t>Restauration integrative</t>
        </is>
      </c>
    </row>
    <row r="7">
      <c r="A7" s="6" t="inlineStr">
        <is>
          <t>IA</t>
        </is>
      </c>
      <c r="B7" s="6" t="inlineStr">
        <is>
          <t>Asymetrie</t>
        </is>
      </c>
      <c r="C7" s="6" t="inlineStr">
        <is>
          <t>Symetrie relative</t>
        </is>
      </c>
      <c r="D7" s="6" t="inlineStr">
        <is>
          <t>Influence</t>
        </is>
      </c>
      <c r="E7" s="6" t="inlineStr">
        <is>
          <t>Desequilibre marque</t>
        </is>
      </c>
      <c r="F7" s="6" t="inlineStr">
        <is>
          <t>Asymetrie coercitive</t>
        </is>
      </c>
      <c r="G7" s="6" t="inlineStr">
        <is>
          <t>Domination structurelle</t>
        </is>
      </c>
      <c r="H7" s="6" t="inlineStr">
        <is>
          <t>Architecture predatrice</t>
        </is>
      </c>
    </row>
    <row r="8">
      <c r="A8" s="6" t="inlineStr">
        <is>
          <t>IT</t>
        </is>
      </c>
      <c r="B8" s="6" t="inlineStr">
        <is>
          <t>Temporalite</t>
        </is>
      </c>
      <c r="C8" s="6" t="inlineStr">
        <is>
          <t>Incident ponctuel</t>
        </is>
      </c>
      <c r="D8" s="6" t="inlineStr">
        <is>
          <t>Repetition faible</t>
        </is>
      </c>
      <c r="E8" s="6" t="inlineStr">
        <is>
          <t>Cycle identifiable</t>
        </is>
      </c>
      <c r="F8" s="6" t="inlineStr">
        <is>
          <t>Chronicisation</t>
        </is>
      </c>
      <c r="G8" s="6" t="inlineStr">
        <is>
          <t>Escalade</t>
        </is>
      </c>
      <c r="H8" s="6" t="inlineStr">
        <is>
          <t>Architecture destructive</t>
        </is>
      </c>
    </row>
    <row r="9">
      <c r="A9" s="6" t="inlineStr">
        <is>
          <t>IE</t>
        </is>
      </c>
      <c r="B9" s="6" t="inlineStr">
        <is>
          <t>Environnement</t>
        </is>
      </c>
      <c r="C9" s="6" t="inlineStr">
        <is>
          <t>Protecteur</t>
        </is>
      </c>
      <c r="D9" s="6" t="inlineStr">
        <is>
          <t>Passivite neutre</t>
        </is>
      </c>
      <c r="E9" s="6" t="inlineStr">
        <is>
          <t>Minimisation</t>
        </is>
      </c>
      <c r="F9" s="6" t="inlineStr">
        <is>
          <t>Complicite structurelle</t>
        </is>
      </c>
      <c r="G9" s="6" t="inlineStr">
        <is>
          <t>Renforcement actif</t>
        </is>
      </c>
      <c r="H9" s="6" t="inlineStr">
        <is>
          <t>Capture collective</t>
        </is>
      </c>
    </row>
    <row r="10">
      <c r="A10" s="6" t="inlineStr">
        <is>
          <t>II</t>
        </is>
      </c>
      <c r="B10" s="6" t="inlineStr">
        <is>
          <t>Integration</t>
        </is>
      </c>
      <c r="C10" s="6" t="inlineStr">
        <is>
          <t>Effondrement</t>
        </is>
      </c>
      <c r="D10" s="6" t="inlineStr">
        <is>
          <t>Survie defensive</t>
        </is>
      </c>
      <c r="E10" s="6" t="inlineStr">
        <is>
          <t>Adaptation fonctionnelle</t>
        </is>
      </c>
      <c r="F10" s="6" t="inlineStr">
        <is>
          <t>Reparation emergente</t>
        </is>
      </c>
      <c r="G10" s="6" t="inlineStr">
        <is>
          <t>Integration coherente</t>
        </is>
      </c>
      <c r="H10" s="6" t="inlineStr">
        <is>
          <t>Souverainete restauree</t>
        </is>
      </c>
    </row>
    <row r="11">
      <c r="A11" s="6" t="inlineStr">
        <is>
          <t>R</t>
        </is>
      </c>
      <c r="B11" s="6" t="inlineStr">
        <is>
          <t>Reversibilite</t>
        </is>
      </c>
      <c r="C11" s="6" t="inlineStr">
        <is>
          <t>Conditionnement rigide</t>
        </is>
      </c>
      <c r="D11" s="6" t="inlineStr">
        <is>
          <t>Seuil instable</t>
        </is>
      </c>
      <c r="E11" s="6" t="inlineStr">
        <is>
          <t>Ajustement partiel</t>
        </is>
      </c>
      <c r="F11" s="6" t="inlineStr">
        <is>
          <t>Reorganisation coherente</t>
        </is>
      </c>
      <c r="G11" s="6" t="inlineStr">
        <is>
          <t>Souverainete integrative</t>
        </is>
      </c>
      <c r="H11" s="6" t="inlineStr">
        <is>
          <t>Transmission protectrice</t>
        </is>
      </c>
    </row>
    <row r="12">
      <c r="A12" s="6" t="inlineStr">
        <is>
          <t>S</t>
        </is>
      </c>
      <c r="B12" s="6" t="inlineStr">
        <is>
          <t>Souverainete</t>
        </is>
      </c>
      <c r="C12" s="6" t="inlineStr">
        <is>
          <t>Soumission</t>
        </is>
      </c>
      <c r="D12" s="6" t="inlineStr">
        <is>
          <t>Resignation</t>
        </is>
      </c>
      <c r="E12" s="6" t="inlineStr">
        <is>
          <t>Defense</t>
        </is>
      </c>
      <c r="F12" s="6" t="inlineStr">
        <is>
          <t>Dignite emergente</t>
        </is>
      </c>
      <c r="G12" s="6" t="inlineStr">
        <is>
          <t>Souverainete</t>
        </is>
      </c>
      <c r="H12" s="6" t="inlineStr">
        <is>
          <t>Transmission protectrice</t>
        </is>
      </c>
    </row>
    <row r="13">
      <c r="A13" s="6" t="inlineStr">
        <is>
          <t>CG</t>
        </is>
      </c>
      <c r="B13" s="6" t="inlineStr">
        <is>
          <t>Cartographie globale</t>
        </is>
      </c>
      <c r="C13" s="6" t="inlineStr">
        <is>
          <t>Incident</t>
        </is>
      </c>
      <c r="D13" s="6" t="inlineStr">
        <is>
          <t>Vulnerabilite</t>
        </is>
      </c>
      <c r="E13" s="6" t="inlineStr">
        <is>
          <t>Dette</t>
        </is>
      </c>
      <c r="F13" s="6" t="inlineStr">
        <is>
          <t>Emprise</t>
        </is>
      </c>
      <c r="G13" s="6" t="inlineStr">
        <is>
          <t>Architecture destructive</t>
        </is>
      </c>
      <c r="H13" s="6" t="inlineStr">
        <is>
          <t>Restauration / protection</t>
        </is>
      </c>
    </row>
    <row r="14">
      <c r="A14" s="6" t="inlineStr">
        <is>
          <t>OP</t>
        </is>
      </c>
      <c r="B14" s="6" t="inlineStr">
        <is>
          <t>Protocole operatoire</t>
        </is>
      </c>
      <c r="C14" s="6" t="inlineStr">
        <is>
          <t>Observer</t>
        </is>
      </c>
      <c r="D14" s="6" t="inlineStr">
        <is>
          <t>Clarifier</t>
        </is>
      </c>
      <c r="E14" s="6" t="inlineStr">
        <is>
          <t>Documenter</t>
        </is>
      </c>
      <c r="F14" s="6" t="inlineStr">
        <is>
          <t>Proteger</t>
        </is>
      </c>
      <c r="G14" s="6" t="inlineStr">
        <is>
          <t>Orienter</t>
        </is>
      </c>
      <c r="H14" s="6" t="inlineStr">
        <is>
          <t>Restaurer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35" customWidth="1" min="4" max="4"/>
    <col width="35" customWidth="1" min="5" max="5"/>
    <col width="14" customWidth="1" min="6" max="6"/>
    <col width="10" customWidth="1" min="7" max="7"/>
    <col width="16" customWidth="1" min="8" max="8"/>
  </cols>
  <sheetData>
    <row r="1">
      <c r="A1" s="7" t="inlineStr">
        <is>
          <t>Code</t>
        </is>
      </c>
      <c r="B1" s="7" t="inlineStr">
        <is>
          <t>Axe</t>
        </is>
      </c>
      <c r="C1" s="7" t="inlineStr">
        <is>
          <t>Score 0-5</t>
        </is>
      </c>
      <c r="D1" s="7" t="inlineStr">
        <is>
          <t>Notes</t>
        </is>
      </c>
      <c r="E1" s="7" t="inlineStr">
        <is>
          <t>Preuves</t>
        </is>
      </c>
      <c r="F1" s="7" t="inlineStr">
        <is>
          <t>Sens</t>
        </is>
      </c>
      <c r="G1" s="7" t="inlineStr">
        <is>
          <t>Poids</t>
        </is>
      </c>
      <c r="H1" s="7" t="inlineStr">
        <is>
          <t>Score pondere</t>
        </is>
      </c>
    </row>
    <row r="2">
      <c r="A2" s="6" t="inlineStr">
        <is>
          <t>G</t>
        </is>
      </c>
      <c r="B2" s="6" t="inlineStr">
        <is>
          <t>Gravite</t>
        </is>
      </c>
      <c r="C2" s="6" t="n">
        <v>0</v>
      </c>
      <c r="D2" s="6" t="n"/>
      <c r="E2" s="6" t="n"/>
      <c r="F2" s="6" t="inlineStr">
        <is>
          <t>Risque</t>
        </is>
      </c>
      <c r="G2" s="6" t="n">
        <v>1</v>
      </c>
      <c r="H2" s="6">
        <f>C2*G2</f>
        <v/>
      </c>
    </row>
    <row r="3">
      <c r="A3" s="6" t="inlineStr">
        <is>
          <t>C</t>
        </is>
      </c>
      <c r="B3" s="6" t="inlineStr">
        <is>
          <t>Consentement</t>
        </is>
      </c>
      <c r="C3" s="6" t="n">
        <v>0</v>
      </c>
      <c r="D3" s="6" t="n"/>
      <c r="E3" s="6" t="n"/>
      <c r="F3" s="6" t="inlineStr">
        <is>
          <t>Risque</t>
        </is>
      </c>
      <c r="G3" s="6" t="n">
        <v>1</v>
      </c>
      <c r="H3" s="6">
        <f>C3*G3</f>
        <v/>
      </c>
    </row>
    <row r="4">
      <c r="A4" s="6" t="inlineStr">
        <is>
          <t>D</t>
        </is>
      </c>
      <c r="B4" s="6" t="inlineStr">
        <is>
          <t>Dette</t>
        </is>
      </c>
      <c r="C4" s="6" t="n">
        <v>0</v>
      </c>
      <c r="D4" s="6" t="n"/>
      <c r="E4" s="6" t="n"/>
      <c r="F4" s="6" t="inlineStr">
        <is>
          <t>Risque</t>
        </is>
      </c>
      <c r="G4" s="6" t="n">
        <v>1</v>
      </c>
      <c r="H4" s="6">
        <f>C4*G4</f>
        <v/>
      </c>
    </row>
    <row r="5">
      <c r="A5" s="6" t="inlineStr">
        <is>
          <t>ID</t>
        </is>
      </c>
      <c r="B5" s="6" t="inlineStr">
        <is>
          <t>Distorsion</t>
        </is>
      </c>
      <c r="C5" s="6" t="n">
        <v>0</v>
      </c>
      <c r="D5" s="6" t="n"/>
      <c r="E5" s="6" t="n"/>
      <c r="F5" s="6" t="inlineStr">
        <is>
          <t>Risque</t>
        </is>
      </c>
      <c r="G5" s="6" t="n">
        <v>1</v>
      </c>
      <c r="H5" s="6">
        <f>C5*G5</f>
        <v/>
      </c>
    </row>
    <row r="6">
      <c r="A6" s="6" t="inlineStr">
        <is>
          <t>IR</t>
        </is>
      </c>
      <c r="B6" s="6" t="inlineStr">
        <is>
          <t>Reparation</t>
        </is>
      </c>
      <c r="C6" s="6" t="n">
        <v>0</v>
      </c>
      <c r="D6" s="6" t="n"/>
      <c r="E6" s="6" t="n"/>
      <c r="F6" s="6" t="inlineStr">
        <is>
          <t>Protecteur</t>
        </is>
      </c>
      <c r="G6" s="6" t="n">
        <v>1</v>
      </c>
      <c r="H6" s="6">
        <f>C6*G6</f>
        <v/>
      </c>
    </row>
    <row r="7">
      <c r="A7" s="6" t="inlineStr">
        <is>
          <t>IA</t>
        </is>
      </c>
      <c r="B7" s="6" t="inlineStr">
        <is>
          <t>Asymetrie</t>
        </is>
      </c>
      <c r="C7" s="6" t="n">
        <v>0</v>
      </c>
      <c r="D7" s="6" t="n"/>
      <c r="E7" s="6" t="n"/>
      <c r="F7" s="6" t="inlineStr">
        <is>
          <t>Risque</t>
        </is>
      </c>
      <c r="G7" s="6" t="n">
        <v>1</v>
      </c>
      <c r="H7" s="6">
        <f>C7*G7</f>
        <v/>
      </c>
    </row>
    <row r="8">
      <c r="A8" s="6" t="inlineStr">
        <is>
          <t>IT</t>
        </is>
      </c>
      <c r="B8" s="6" t="inlineStr">
        <is>
          <t>Temporalite</t>
        </is>
      </c>
      <c r="C8" s="6" t="n">
        <v>0</v>
      </c>
      <c r="D8" s="6" t="n"/>
      <c r="E8" s="6" t="n"/>
      <c r="F8" s="6" t="inlineStr">
        <is>
          <t>Risque</t>
        </is>
      </c>
      <c r="G8" s="6" t="n">
        <v>1</v>
      </c>
      <c r="H8" s="6">
        <f>C8*G8</f>
        <v/>
      </c>
    </row>
    <row r="9">
      <c r="A9" s="6" t="inlineStr">
        <is>
          <t>IE</t>
        </is>
      </c>
      <c r="B9" s="6" t="inlineStr">
        <is>
          <t>Environnement</t>
        </is>
      </c>
      <c r="C9" s="6" t="n">
        <v>0</v>
      </c>
      <c r="D9" s="6" t="n"/>
      <c r="E9" s="6" t="n"/>
      <c r="F9" s="6" t="inlineStr">
        <is>
          <t>Risque</t>
        </is>
      </c>
      <c r="G9" s="6" t="n">
        <v>1</v>
      </c>
      <c r="H9" s="6">
        <f>C9*G9</f>
        <v/>
      </c>
    </row>
    <row r="10">
      <c r="A10" s="6" t="inlineStr">
        <is>
          <t>II</t>
        </is>
      </c>
      <c r="B10" s="6" t="inlineStr">
        <is>
          <t>Integration</t>
        </is>
      </c>
      <c r="C10" s="6" t="n">
        <v>0</v>
      </c>
      <c r="D10" s="6" t="n"/>
      <c r="E10" s="6" t="n"/>
      <c r="F10" s="6" t="inlineStr">
        <is>
          <t>Protecteur</t>
        </is>
      </c>
      <c r="G10" s="6" t="n">
        <v>1</v>
      </c>
      <c r="H10" s="6">
        <f>C10*G10</f>
        <v/>
      </c>
    </row>
    <row r="11">
      <c r="A11" s="6" t="inlineStr">
        <is>
          <t>R</t>
        </is>
      </c>
      <c r="B11" s="6" t="inlineStr">
        <is>
          <t>Reversibilite</t>
        </is>
      </c>
      <c r="C11" s="6" t="n">
        <v>0</v>
      </c>
      <c r="D11" s="6" t="n"/>
      <c r="E11" s="6" t="n"/>
      <c r="F11" s="6" t="inlineStr">
        <is>
          <t>Protecteur</t>
        </is>
      </c>
      <c r="G11" s="6" t="n">
        <v>1</v>
      </c>
      <c r="H11" s="6">
        <f>C11*G11</f>
        <v/>
      </c>
    </row>
    <row r="12">
      <c r="A12" s="6" t="inlineStr">
        <is>
          <t>S</t>
        </is>
      </c>
      <c r="B12" s="6" t="inlineStr">
        <is>
          <t>Souverainete</t>
        </is>
      </c>
      <c r="C12" s="6" t="n">
        <v>0</v>
      </c>
      <c r="D12" s="6" t="n"/>
      <c r="E12" s="6" t="n"/>
      <c r="F12" s="6" t="inlineStr">
        <is>
          <t>Protecteur</t>
        </is>
      </c>
      <c r="G12" s="6" t="n">
        <v>1</v>
      </c>
      <c r="H12" s="6">
        <f>C12*G12</f>
        <v/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3" t="inlineStr">
        <is>
          <t>Total Risque</t>
        </is>
      </c>
      <c r="B14" s="6" t="n"/>
      <c r="C14" s="6" t="n"/>
      <c r="D14" s="6" t="n"/>
      <c r="E14" s="6" t="n"/>
      <c r="F14" s="6" t="n"/>
      <c r="G14" s="6" t="n"/>
      <c r="H14" s="8">
        <f>SUM(H2,H5,H7,H8,H9)</f>
        <v/>
      </c>
    </row>
    <row r="15">
      <c r="A15" s="3" t="inlineStr">
        <is>
          <t>Total Protection</t>
        </is>
      </c>
      <c r="B15" s="6" t="n"/>
      <c r="C15" s="6" t="n"/>
      <c r="D15" s="6" t="n"/>
      <c r="E15" s="6" t="n"/>
      <c r="F15" s="6" t="n"/>
      <c r="G15" s="6" t="n"/>
      <c r="H15" s="8">
        <f>SUM(H6,H10,H11,H12)</f>
        <v/>
      </c>
    </row>
    <row r="16">
      <c r="A16" s="3" t="inlineStr">
        <is>
          <t>RS</t>
        </is>
      </c>
      <c r="B16" s="6" t="n"/>
      <c r="C16" s="6" t="n"/>
      <c r="D16" s="6" t="n"/>
      <c r="E16" s="6" t="n"/>
      <c r="F16" s="6" t="n"/>
      <c r="G16" s="6" t="n"/>
      <c r="H16" s="8">
        <f>H14-H15</f>
        <v/>
      </c>
    </row>
    <row r="17">
      <c r="A17" s="3" t="inlineStr">
        <is>
          <t>Lecture</t>
        </is>
      </c>
      <c r="B17" s="6" t="n"/>
      <c r="C17" s="6" t="n"/>
      <c r="D17" s="6" t="n"/>
      <c r="E17" s="6" t="n"/>
      <c r="F17" s="6" t="n"/>
      <c r="G17" s="6" t="n"/>
      <c r="H17" s="8">
        <f>IF(H16&gt;=18,"Danger structurel",IF(H16&gt;=10,"Vigilance",IF(H16&gt;=4,"A surveiller","Stabilite relative")))</f>
        <v/>
      </c>
    </row>
  </sheetData>
  <dataValidations count="1">
    <dataValidation sqref="C2:C12" showDropDown="0" showInputMessage="0" showErrorMessage="0" allowBlank="0" type="whole" operator="between">
      <formula1>0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65" customWidth="1" min="4" max="4"/>
  </cols>
  <sheetData>
    <row r="1">
      <c r="A1" s="5" t="inlineStr">
        <is>
          <t>Delta I - information integree</t>
        </is>
      </c>
      <c r="B1" s="5" t="inlineStr">
        <is>
          <t>Delta E - energie engagee</t>
        </is>
      </c>
      <c r="C1" s="5" t="inlineStr">
        <is>
          <t>C = Delta I / Delta E</t>
        </is>
      </c>
      <c r="D1" s="5" t="inlineStr">
        <is>
          <t>Note</t>
        </is>
      </c>
    </row>
    <row r="2">
      <c r="A2" s="2" t="n">
        <v>0</v>
      </c>
      <c r="B2" s="2" t="n">
        <v>0</v>
      </c>
      <c r="C2" s="2">
        <f>IF(B2=0,0,A2/B2)</f>
        <v/>
      </c>
      <c r="D2" s="2" t="inlineStr">
        <is>
          <t>Indice heuristique : ne pas confondre avec preuve absolue.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7" t="inlineStr">
        <is>
          <t>Emprise</t>
        </is>
      </c>
      <c r="B1" s="6" t="n"/>
    </row>
    <row r="2">
      <c r="A2" s="3" t="inlineStr">
        <is>
          <t>Domaine</t>
        </is>
      </c>
      <c r="B2" s="3" t="inlineStr">
        <is>
          <t>Signal / lecture</t>
        </is>
      </c>
    </row>
    <row r="3">
      <c r="A3" s="6" t="inlineStr">
        <is>
          <t>Emotion</t>
        </is>
      </c>
      <c r="B3" s="6" t="inlineStr">
        <is>
          <t>peur, honte, dette</t>
        </is>
      </c>
    </row>
    <row r="4">
      <c r="A4" s="6" t="inlineStr">
        <is>
          <t>Corps</t>
        </is>
      </c>
      <c r="B4" s="6" t="inlineStr">
        <is>
          <t>freeze, tension, hypervigilance</t>
        </is>
      </c>
    </row>
    <row r="5">
      <c r="A5" s="6" t="inlineStr">
        <is>
          <t>Cognition</t>
        </is>
      </c>
      <c r="B5" s="6" t="inlineStr">
        <is>
          <t>confusion, doute chronique</t>
        </is>
      </c>
    </row>
    <row r="6">
      <c r="A6" s="6" t="inlineStr">
        <is>
          <t>Relation</t>
        </is>
      </c>
      <c r="B6" s="6" t="inlineStr">
        <is>
          <t>pression, controle, isolement</t>
        </is>
      </c>
    </row>
    <row r="7">
      <c r="A7" s="6" t="inlineStr">
        <is>
          <t>Identite</t>
        </is>
      </c>
      <c r="B7" s="6" t="inlineStr">
        <is>
          <t>perte du non, auto-effacement</t>
        </is>
      </c>
    </row>
    <row r="8">
      <c r="A8" s="6" t="inlineStr">
        <is>
          <t>Reel</t>
        </is>
      </c>
      <c r="B8" s="6" t="inlineStr">
        <is>
          <t>inversion, gaslighting</t>
        </is>
      </c>
    </row>
    <row r="9">
      <c r="A9" s="6" t="n"/>
      <c r="B9" s="6" t="n"/>
    </row>
    <row r="10">
      <c r="A10" s="6" t="n"/>
      <c r="B10" s="6" t="n"/>
    </row>
    <row r="11">
      <c r="A11" s="7" t="inlineStr">
        <is>
          <t>Consentement</t>
        </is>
      </c>
      <c r="B11" s="6" t="n"/>
    </row>
    <row r="12">
      <c r="A12" s="3" t="inlineStr">
        <is>
          <t>Domaine</t>
        </is>
      </c>
      <c r="B12" s="3" t="inlineStr">
        <is>
          <t>Signal / lecture</t>
        </is>
      </c>
    </row>
    <row r="13">
      <c r="A13" s="6" t="inlineStr">
        <is>
          <t>Corps</t>
        </is>
      </c>
      <c r="B13" s="6" t="inlineStr">
        <is>
          <t>detente / freeze</t>
        </is>
      </c>
    </row>
    <row r="14">
      <c r="A14" s="6" t="inlineStr">
        <is>
          <t>Emotion</t>
        </is>
      </c>
      <c r="B14" s="6" t="inlineStr">
        <is>
          <t>securite / peur</t>
        </is>
      </c>
    </row>
    <row r="15">
      <c r="A15" s="6" t="inlineStr">
        <is>
          <t>Cognition</t>
        </is>
      </c>
      <c r="B15" s="6" t="inlineStr">
        <is>
          <t>clarte / confusion</t>
        </is>
      </c>
    </row>
    <row r="16">
      <c r="A16" s="6" t="inlineStr">
        <is>
          <t>Relation</t>
        </is>
      </c>
      <c r="B16" s="6" t="inlineStr">
        <is>
          <t>respect / pression</t>
        </is>
      </c>
    </row>
    <row r="17">
      <c r="A17" s="6" t="inlineStr">
        <is>
          <t>Identite</t>
        </is>
      </c>
      <c r="B17" s="6" t="inlineStr">
        <is>
          <t>choix / dette</t>
        </is>
      </c>
    </row>
    <row r="18">
      <c r="A18" s="6" t="inlineStr">
        <is>
          <t>Temps</t>
        </is>
      </c>
      <c r="B18" s="6" t="inlineStr">
        <is>
          <t>coherence / regret sidere</t>
        </is>
      </c>
    </row>
    <row r="19">
      <c r="A19" s="6" t="n"/>
      <c r="B19" s="6" t="n"/>
    </row>
    <row r="20">
      <c r="A20" s="6" t="n"/>
      <c r="B20" s="6" t="n"/>
    </row>
    <row r="21">
      <c r="A21" s="7" t="inlineStr">
        <is>
          <t>Harcelement</t>
        </is>
      </c>
      <c r="B21" s="6" t="n"/>
    </row>
    <row r="22">
      <c r="A22" s="3" t="inlineStr">
        <is>
          <t>Domaine</t>
        </is>
      </c>
      <c r="B22" s="3" t="inlineStr">
        <is>
          <t>Signal / lecture</t>
        </is>
      </c>
    </row>
    <row r="23">
      <c r="A23" s="6" t="inlineStr">
        <is>
          <t>Frequence</t>
        </is>
      </c>
      <c r="B23" s="6" t="inlineStr">
        <is>
          <t>ponctuel / repetitif</t>
        </is>
      </c>
    </row>
    <row r="24">
      <c r="A24" s="6" t="inlineStr">
        <is>
          <t>Pouvoir</t>
        </is>
      </c>
      <c r="B24" s="6" t="inlineStr">
        <is>
          <t>equilibre / asymetrie</t>
        </is>
      </c>
    </row>
    <row r="25">
      <c r="A25" s="6" t="inlineStr">
        <is>
          <t>Effet</t>
        </is>
      </c>
      <c r="B25" s="6" t="inlineStr">
        <is>
          <t>tension / usure</t>
        </is>
      </c>
    </row>
    <row r="26">
      <c r="A26" s="6" t="inlineStr">
        <is>
          <t>Reel</t>
        </is>
      </c>
      <c r="B26" s="6" t="inlineStr">
        <is>
          <t>desaccord / confusion</t>
        </is>
      </c>
    </row>
    <row r="27">
      <c r="A27" s="6" t="inlineStr">
        <is>
          <t>Impact</t>
        </is>
      </c>
      <c r="B27" s="6" t="inlineStr">
        <is>
          <t>circonstanciel / structurel</t>
        </is>
      </c>
    </row>
    <row r="28">
      <c r="A28" s="6" t="n"/>
      <c r="B28" s="6" t="n"/>
    </row>
    <row r="29">
      <c r="A29" s="6" t="n"/>
      <c r="B29" s="6" t="n"/>
    </row>
    <row r="30">
      <c r="A30" s="7" t="inlineStr">
        <is>
          <t>Reversibilite</t>
        </is>
      </c>
      <c r="B30" s="6" t="n"/>
    </row>
    <row r="31">
      <c r="A31" s="3" t="inlineStr">
        <is>
          <t>Domaine</t>
        </is>
      </c>
      <c r="B31" s="3" t="inlineStr">
        <is>
          <t>Signal / lecture</t>
        </is>
      </c>
    </row>
    <row r="32">
      <c r="A32" s="6" t="inlineStr">
        <is>
          <t>Conditionne</t>
        </is>
      </c>
      <c r="B32" s="6" t="inlineStr">
        <is>
          <t>repete malgre impact</t>
        </is>
      </c>
    </row>
    <row r="33">
      <c r="A33" s="6" t="inlineStr">
        <is>
          <t>Au seuil</t>
        </is>
      </c>
      <c r="B33" s="6" t="inlineStr">
        <is>
          <t>oscillation, honte, contradiction</t>
        </is>
      </c>
    </row>
    <row r="34">
      <c r="A34" s="6" t="inlineStr">
        <is>
          <t>Ajustable</t>
        </is>
      </c>
      <c r="B34" s="6" t="inlineStr">
        <is>
          <t>modifie, reconnait</t>
        </is>
      </c>
    </row>
    <row r="35">
      <c r="A35" s="6" t="inlineStr">
        <is>
          <t>Reparateur</t>
        </is>
      </c>
      <c r="B35" s="6" t="inlineStr">
        <is>
          <t>assume, transforme</t>
        </is>
      </c>
    </row>
  </sheetData>
  <mergeCells count="4">
    <mergeCell ref="A21:B21"/>
    <mergeCell ref="A11:B11"/>
    <mergeCell ref="A1:B1"/>
    <mergeCell ref="A30:B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70" customWidth="1" min="3" max="3"/>
  </cols>
  <sheetData>
    <row r="1">
      <c r="A1" s="7" t="inlineStr">
        <is>
          <t>Contexte</t>
        </is>
      </c>
      <c r="B1" s="7" t="inlineStr">
        <is>
          <t>Question centrale</t>
        </is>
      </c>
      <c r="C1" s="7" t="inlineStr">
        <is>
          <t>Risques typiques</t>
        </is>
      </c>
    </row>
    <row r="2">
      <c r="A2" s="6" t="inlineStr">
        <is>
          <t>Couple / lien intime</t>
        </is>
      </c>
      <c r="B2" s="6" t="inlineStr">
        <is>
          <t>La relation augmente-t-elle securite, dignite et clarte, ou dette, confusion et peur ?</t>
        </is>
      </c>
      <c r="C2" s="6" t="inlineStr">
        <is>
          <t>consentement, dette affective, alternance idealisation/devalorisation, erosion du non</t>
        </is>
      </c>
    </row>
    <row r="3">
      <c r="A3" s="6" t="inlineStr">
        <is>
          <t>Famille / systeme d'origine</t>
        </is>
      </c>
      <c r="B3" s="6" t="inlineStr">
        <is>
          <t>Le systeme transmet-il securite ou loyauté sous contrainte ?</t>
        </is>
      </c>
      <c r="C3" s="6" t="inlineStr">
        <is>
          <t>secret, silence, deni, parentification, triangulation, culpabilite transgenerationnelle</t>
        </is>
      </c>
    </row>
    <row r="4">
      <c r="A4" s="6" t="inlineStr">
        <is>
          <t>Travail / hierarchie</t>
        </is>
      </c>
      <c r="B4" s="6" t="inlineStr">
        <is>
          <t>Le cadre organise-t-il competence ou domination ?</t>
        </is>
      </c>
      <c r="C4" s="6" t="inlineStr">
        <is>
          <t>harcelement moral, injonctions paradoxales, surcharge, invisibilisation</t>
        </is>
      </c>
    </row>
    <row r="5">
      <c r="A5" s="6" t="inlineStr">
        <is>
          <t>Institution / medico-legal</t>
        </is>
      </c>
      <c r="B5" s="6" t="inlineStr">
        <is>
          <t>Le cadre protege-t-il le reel ou sa propre inertie ?</t>
        </is>
      </c>
      <c r="C5" s="6" t="inlineStr">
        <is>
          <t>sideration mal lue, neutralite de facade, preuve impossible, double violence administrative</t>
        </is>
      </c>
    </row>
    <row r="6">
      <c r="A6" s="6" t="inlineStr">
        <is>
          <t>Groupe coercitif / ideologie fermee</t>
        </is>
      </c>
      <c r="B6" s="6" t="inlineStr">
        <is>
          <t>Le systeme ouvre-t-il la pensee ou capture-t-il la perception ?</t>
        </is>
      </c>
      <c r="C6" s="6" t="inlineStr">
        <is>
          <t>dogme, isolement, verite imposee, ennemi externe permanent, dependance identitaire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</cols>
  <sheetData>
    <row r="1">
      <c r="A1" s="5" t="inlineStr">
        <is>
          <t>Lettre</t>
        </is>
      </c>
      <c r="B1" s="5" t="inlineStr">
        <is>
          <t>Axe</t>
        </is>
      </c>
      <c r="C1" s="5" t="inlineStr">
        <is>
          <t>Question</t>
        </is>
      </c>
    </row>
    <row r="2">
      <c r="A2" s="2" t="inlineStr">
        <is>
          <t>S</t>
        </is>
      </c>
      <c r="B2" s="2" t="inlineStr">
        <is>
          <t>Securite</t>
        </is>
      </c>
      <c r="C2" s="2" t="inlineStr">
        <is>
          <t>Danger immediat ou exposition ?</t>
        </is>
      </c>
    </row>
    <row r="3">
      <c r="A3" s="2" t="inlineStr">
        <is>
          <t>T</t>
        </is>
      </c>
      <c r="B3" s="2" t="inlineStr">
        <is>
          <t>Trajectoire</t>
        </is>
      </c>
      <c r="C3" s="2" t="inlineStr">
        <is>
          <t>Repetition, oscillation ou transformation ?</t>
        </is>
      </c>
    </row>
    <row r="4">
      <c r="A4" s="2" t="inlineStr">
        <is>
          <t>O</t>
        </is>
      </c>
      <c r="B4" s="2" t="inlineStr">
        <is>
          <t>Observation</t>
        </is>
      </c>
      <c r="C4" s="2" t="inlineStr">
        <is>
          <t>Quels faits verifiables ?</t>
        </is>
      </c>
    </row>
    <row r="5">
      <c r="A5" s="2" t="inlineStr">
        <is>
          <t>P</t>
        </is>
      </c>
      <c r="B5" s="2" t="inlineStr">
        <is>
          <t>Pouvoir</t>
        </is>
      </c>
      <c r="C5" s="2" t="inlineStr">
        <is>
          <t>Quelle asymetrie ? Quel cout du refus ?</t>
        </is>
      </c>
    </row>
    <row r="6">
      <c r="A6" s="2" t="inlineStr">
        <is>
          <t>R</t>
        </is>
      </c>
      <c r="B6" s="2" t="inlineStr">
        <is>
          <t>Reversibilite</t>
        </is>
      </c>
      <c r="C6" s="2" t="inlineStr">
        <is>
          <t>Ajustement reel ou repetition 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5" t="inlineStr">
        <is>
          <t>Terme</t>
        </is>
      </c>
      <c r="B1" s="5" t="inlineStr">
        <is>
          <t>Definition</t>
        </is>
      </c>
    </row>
    <row r="2">
      <c r="A2" s="2" t="inlineStr">
        <is>
          <t>Verite</t>
        </is>
      </c>
      <c r="B2" s="2" t="inlineStr">
        <is>
          <t>Ce qui ameliore l'orientation dans le reel.</t>
        </is>
      </c>
    </row>
    <row r="3">
      <c r="A3" s="2" t="inlineStr">
        <is>
          <t>Distorsion</t>
        </is>
      </c>
      <c r="B3" s="2" t="inlineStr">
        <is>
          <t>Alteration de perception, recit ou discernement.</t>
        </is>
      </c>
    </row>
    <row r="4">
      <c r="A4" s="2" t="inlineStr">
        <is>
          <t>Dette</t>
        </is>
      </c>
      <c r="B4" s="2" t="inlineStr">
        <is>
          <t>Cout non integre porte par un systeme.</t>
        </is>
      </c>
    </row>
    <row r="5">
      <c r="A5" s="2" t="inlineStr">
        <is>
          <t>Consentement</t>
        </is>
      </c>
      <c r="B5" s="2" t="inlineStr">
        <is>
          <t>Liberte reelle de choix avec possibilite du non.</t>
        </is>
      </c>
    </row>
    <row r="6">
      <c r="A6" s="2" t="inlineStr">
        <is>
          <t>Emprise</t>
        </is>
      </c>
      <c r="B6" s="2" t="inlineStr">
        <is>
          <t>Reduction progressive de la souverainete par asymetrie et distorsion.</t>
        </is>
      </c>
    </row>
    <row r="7">
      <c r="A7" s="2" t="inlineStr">
        <is>
          <t>Reparation</t>
        </is>
      </c>
      <c r="B7" s="2" t="inlineStr">
        <is>
          <t>Reduction active du dommage.</t>
        </is>
      </c>
    </row>
    <row r="8">
      <c r="A8" s="2" t="inlineStr">
        <is>
          <t>Integration</t>
        </is>
      </c>
      <c r="B8" s="2" t="inlineStr">
        <is>
          <t>Transformation d'un impact en coherence restauree.</t>
        </is>
      </c>
    </row>
    <row r="9">
      <c r="A9" s="2" t="inlineStr">
        <is>
          <t>Souverainete</t>
        </is>
      </c>
      <c r="B9" s="2" t="inlineStr">
        <is>
          <t>Capacite a preserver dignite, discernement et integrite.</t>
        </is>
      </c>
    </row>
    <row r="10">
      <c r="A10" s="2" t="inlineStr">
        <is>
          <t>Sidération</t>
        </is>
      </c>
      <c r="B10" s="2" t="inlineStr">
        <is>
          <t>Gel neurobiologique sous surcharge.</t>
        </is>
      </c>
    </row>
    <row r="11">
      <c r="A11" s="2" t="inlineStr">
        <is>
          <t>Reversibilite</t>
        </is>
      </c>
      <c r="B11" s="2" t="inlineStr">
        <is>
          <t>Capacite a interrompre un pattern destructeur.</t>
        </is>
      </c>
    </row>
    <row r="12">
      <c r="A12" s="2" t="inlineStr">
        <is>
          <t>Asymetrie</t>
        </is>
      </c>
      <c r="B12" s="2" t="inlineStr">
        <is>
          <t>Pente de pouvoir qui modifie le cout du refus.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2026-05-10T00:17:21Z</dcterms:created>
  <dcterms:modified xmlns:dcterms="http://purl.org/dc/terms/" xmlns:xsi="http://www.w3.org/2001/XMLSchema-instance" xsi:type="dcterms:W3CDTF">2026-05-10T00:17:21Z</dcterms:modified>
</cp:coreProperties>
</file>